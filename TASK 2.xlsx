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dmin\Desktop\"/>
    </mc:Choice>
  </mc:AlternateContent>
  <xr:revisionPtr revIDLastSave="0" documentId="8_{F6814F07-0DD4-8844-887C-B2FC68FBB627}" xr6:coauthVersionLast="47" xr6:coauthVersionMax="47" xr10:uidLastSave="{00000000-0000-0000-0000-000000000000}"/>
  <bookViews>
    <workbookView xWindow="0" yWindow="0" windowWidth="20490" windowHeight="7650" activeTab="2" xr2:uid="{00000000-000D-0000-FFFF-FFFF00000000}"/>
  </bookViews>
  <sheets>
    <sheet name="Data" sheetId="1" r:id="rId1"/>
    <sheet name="Pivot Tables" sheetId="2" r:id="rId2"/>
    <sheet name="Dashboard" sheetId="3" r:id="rId3"/>
  </sheets>
  <definedNames>
    <definedName name="Slicer_Class">#N/A</definedName>
    <definedName name="Slicer_Gender">#N/A</definedName>
    <definedName name="Slicer_Student_ID">#N/A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F5" i="1"/>
  <c r="F6" i="1"/>
  <c r="F7" i="1"/>
  <c r="F8" i="1"/>
  <c r="F9" i="1"/>
  <c r="F10" i="1"/>
  <c r="F11" i="1"/>
  <c r="F12" i="1"/>
  <c r="F13" i="1"/>
  <c r="F14" i="1"/>
  <c r="F15" i="1"/>
  <c r="F16" i="1"/>
  <c r="F17" i="1"/>
  <c r="F18" i="1"/>
  <c r="F19" i="1"/>
  <c r="F20" i="1"/>
  <c r="F21" i="1"/>
  <c r="F22" i="1"/>
  <c r="E4" i="1"/>
  <c r="E5" i="1"/>
  <c r="E6" i="1"/>
  <c r="E7" i="1"/>
  <c r="E8" i="1"/>
  <c r="E9" i="1"/>
  <c r="E10" i="1"/>
  <c r="E11" i="1"/>
  <c r="E12" i="1"/>
  <c r="E13" i="1"/>
  <c r="E14" i="1"/>
  <c r="E15" i="1"/>
  <c r="E16" i="1"/>
  <c r="E17" i="1"/>
  <c r="E18" i="1"/>
  <c r="E19" i="1"/>
  <c r="E20" i="1"/>
  <c r="E21" i="1"/>
  <c r="E22" i="1"/>
  <c r="D4" i="1"/>
  <c r="D5" i="1"/>
  <c r="D6" i="1"/>
  <c r="D7" i="1"/>
  <c r="D8" i="1"/>
  <c r="D9" i="1"/>
  <c r="D10" i="1"/>
  <c r="D11" i="1"/>
  <c r="D12" i="1"/>
  <c r="D13" i="1"/>
  <c r="D14" i="1"/>
  <c r="D15" i="1"/>
  <c r="D16" i="1"/>
  <c r="D17" i="1"/>
  <c r="D18" i="1"/>
  <c r="D19" i="1"/>
  <c r="D20" i="1"/>
  <c r="D21" i="1"/>
  <c r="D22" i="1"/>
  <c r="F3" i="1"/>
  <c r="E3" i="1"/>
  <c r="D3" i="1"/>
</calcChain>
</file>

<file path=xl/sharedStrings.xml><?xml version="1.0" encoding="utf-8"?>
<sst xmlns="http://schemas.openxmlformats.org/spreadsheetml/2006/main" count="81" uniqueCount="23">
  <si>
    <t>Student_ID</t>
  </si>
  <si>
    <t>Gender</t>
  </si>
  <si>
    <t>Class</t>
  </si>
  <si>
    <t>Math_Score</t>
  </si>
  <si>
    <t>Reading_Score</t>
  </si>
  <si>
    <t>Writing_Score</t>
  </si>
  <si>
    <t>F</t>
  </si>
  <si>
    <t>M</t>
  </si>
  <si>
    <t>A</t>
  </si>
  <si>
    <t>B</t>
  </si>
  <si>
    <t>C</t>
  </si>
  <si>
    <t>Row Labels</t>
  </si>
  <si>
    <t>Grand Total</t>
  </si>
  <si>
    <t>Average of Math_Score</t>
  </si>
  <si>
    <t>Average of Reading_Score</t>
  </si>
  <si>
    <t>Average of Writing_Score</t>
  </si>
  <si>
    <t>Average Scores of Subjects</t>
  </si>
  <si>
    <t>Average Scores of all Students</t>
  </si>
  <si>
    <t>Average Scores by Gender</t>
  </si>
  <si>
    <t>Average Scores by Classes</t>
  </si>
  <si>
    <t>Count of Student_ID</t>
  </si>
  <si>
    <t>Count of students by Classes</t>
  </si>
  <si>
    <r>
      <rPr>
        <b/>
        <u/>
        <sz val="22"/>
        <color theme="0"/>
        <rFont val="Calibri"/>
        <family val="2"/>
        <scheme val="minor"/>
      </rPr>
      <t>ABC Institute's Students Performance</t>
    </r>
    <r>
      <rPr>
        <u/>
        <sz val="11"/>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</si>
</sst>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0"/>
      <name val="Calibri"/>
      <family val="2"/>
      <scheme val="minor"/>
    </font>
    <font>
      <b/>
      <u/>
      <sz val="22"/>
      <color theme="0"/>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8"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0" fillId="0" borderId="1" xfId="0" applyBorder="1" applyAlignment="1">
      <alignment horizontal="center"/>
    </xf>
    <xf numFmtId="0" fontId="1" fillId="3" borderId="0" xfId="0" applyFont="1" applyFill="1" applyAlignment="1">
      <alignment horizontal="center" wrapText="1"/>
    </xf>
  </cellXfs>
  <cellStyles count="1">
    <cellStyle name="Normal" xfId="0" builtinId="0"/>
  </cellStyles>
  <dxfs count="11">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microsoft.com/office/2007/relationships/slicerCache" Target="slicerCaches/slicerCache3.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2.xml" /><Relationship Id="rId11" Type="http://schemas.openxmlformats.org/officeDocument/2006/relationships/calcChain" Target="calcChain.xml" /><Relationship Id="rId5" Type="http://schemas.microsoft.com/office/2007/relationships/slicerCache" Target="slicerCaches/slicerCache1.xml" /><Relationship Id="rId10" Type="http://schemas.openxmlformats.org/officeDocument/2006/relationships/sharedStrings" Target="sharedStrings.xml" /><Relationship Id="rId4" Type="http://schemas.openxmlformats.org/officeDocument/2006/relationships/pivotCacheDefinition" Target="pivotCache/pivotCacheDefinition1.xml" /><Relationship Id="rId9"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 2.xlsx]Pivot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Scores by Classes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Tables'!$B$9</c:f>
              <c:strCache>
                <c:ptCount val="1"/>
                <c:pt idx="0">
                  <c:v>Average of Math_Score</c:v>
                </c:pt>
              </c:strCache>
            </c:strRef>
          </c:tx>
          <c:spPr>
            <a:solidFill>
              <a:schemeClr val="accent1">
                <a:tint val="65000"/>
              </a:schemeClr>
            </a:solidFill>
            <a:ln>
              <a:noFill/>
            </a:ln>
            <a:effectLst/>
          </c:spPr>
          <c:invertIfNegative val="0"/>
          <c:cat>
            <c:strRef>
              <c:f>'Pivot Tables'!$A$10:$A$13</c:f>
              <c:strCache>
                <c:ptCount val="3"/>
                <c:pt idx="0">
                  <c:v>A</c:v>
                </c:pt>
                <c:pt idx="1">
                  <c:v>B</c:v>
                </c:pt>
                <c:pt idx="2">
                  <c:v>C</c:v>
                </c:pt>
              </c:strCache>
            </c:strRef>
          </c:cat>
          <c:val>
            <c:numRef>
              <c:f>'Pivot Tables'!$B$10:$B$13</c:f>
              <c:numCache>
                <c:formatCode>General</c:formatCode>
                <c:ptCount val="3"/>
                <c:pt idx="0">
                  <c:v>74.142857142857139</c:v>
                </c:pt>
                <c:pt idx="1">
                  <c:v>83.285714285714292</c:v>
                </c:pt>
                <c:pt idx="2">
                  <c:v>71.833333333333329</c:v>
                </c:pt>
              </c:numCache>
            </c:numRef>
          </c:val>
          <c:extLst>
            <c:ext xmlns:c16="http://schemas.microsoft.com/office/drawing/2014/chart" uri="{C3380CC4-5D6E-409C-BE32-E72D297353CC}">
              <c16:uniqueId val="{00000000-B0FF-4D1A-BB11-87FC6548E320}"/>
            </c:ext>
          </c:extLst>
        </c:ser>
        <c:ser>
          <c:idx val="1"/>
          <c:order val="1"/>
          <c:tx>
            <c:strRef>
              <c:f>'Pivot Tables'!$C$9</c:f>
              <c:strCache>
                <c:ptCount val="1"/>
                <c:pt idx="0">
                  <c:v>Average of Reading_Score</c:v>
                </c:pt>
              </c:strCache>
            </c:strRef>
          </c:tx>
          <c:spPr>
            <a:solidFill>
              <a:schemeClr val="accent1"/>
            </a:solidFill>
            <a:ln>
              <a:noFill/>
            </a:ln>
            <a:effectLst/>
          </c:spPr>
          <c:invertIfNegative val="0"/>
          <c:cat>
            <c:strRef>
              <c:f>'Pivot Tables'!$A$10:$A$13</c:f>
              <c:strCache>
                <c:ptCount val="3"/>
                <c:pt idx="0">
                  <c:v>A</c:v>
                </c:pt>
                <c:pt idx="1">
                  <c:v>B</c:v>
                </c:pt>
                <c:pt idx="2">
                  <c:v>C</c:v>
                </c:pt>
              </c:strCache>
            </c:strRef>
          </c:cat>
          <c:val>
            <c:numRef>
              <c:f>'Pivot Tables'!$C$10:$C$13</c:f>
              <c:numCache>
                <c:formatCode>General</c:formatCode>
                <c:ptCount val="3"/>
                <c:pt idx="0">
                  <c:v>74.428571428571431</c:v>
                </c:pt>
                <c:pt idx="1">
                  <c:v>81.714285714285708</c:v>
                </c:pt>
                <c:pt idx="2">
                  <c:v>70.333333333333329</c:v>
                </c:pt>
              </c:numCache>
            </c:numRef>
          </c:val>
          <c:extLst>
            <c:ext xmlns:c16="http://schemas.microsoft.com/office/drawing/2014/chart" uri="{C3380CC4-5D6E-409C-BE32-E72D297353CC}">
              <c16:uniqueId val="{00000001-B0FF-4D1A-BB11-87FC6548E320}"/>
            </c:ext>
          </c:extLst>
        </c:ser>
        <c:ser>
          <c:idx val="2"/>
          <c:order val="2"/>
          <c:tx>
            <c:strRef>
              <c:f>'Pivot Tables'!$D$9</c:f>
              <c:strCache>
                <c:ptCount val="1"/>
                <c:pt idx="0">
                  <c:v>Average of Writing_Score</c:v>
                </c:pt>
              </c:strCache>
            </c:strRef>
          </c:tx>
          <c:spPr>
            <a:solidFill>
              <a:schemeClr val="accent1">
                <a:shade val="65000"/>
              </a:schemeClr>
            </a:solidFill>
            <a:ln>
              <a:noFill/>
            </a:ln>
            <a:effectLst/>
          </c:spPr>
          <c:invertIfNegative val="0"/>
          <c:cat>
            <c:strRef>
              <c:f>'Pivot Tables'!$A$10:$A$13</c:f>
              <c:strCache>
                <c:ptCount val="3"/>
                <c:pt idx="0">
                  <c:v>A</c:v>
                </c:pt>
                <c:pt idx="1">
                  <c:v>B</c:v>
                </c:pt>
                <c:pt idx="2">
                  <c:v>C</c:v>
                </c:pt>
              </c:strCache>
            </c:strRef>
          </c:cat>
          <c:val>
            <c:numRef>
              <c:f>'Pivot Tables'!$D$10:$D$13</c:f>
              <c:numCache>
                <c:formatCode>General</c:formatCode>
                <c:ptCount val="3"/>
                <c:pt idx="0">
                  <c:v>77.714285714285708</c:v>
                </c:pt>
                <c:pt idx="1">
                  <c:v>78.857142857142861</c:v>
                </c:pt>
                <c:pt idx="2">
                  <c:v>77.5</c:v>
                </c:pt>
              </c:numCache>
            </c:numRef>
          </c:val>
          <c:extLst>
            <c:ext xmlns:c16="http://schemas.microsoft.com/office/drawing/2014/chart" uri="{C3380CC4-5D6E-409C-BE32-E72D297353CC}">
              <c16:uniqueId val="{00000002-B0FF-4D1A-BB11-87FC6548E320}"/>
            </c:ext>
          </c:extLst>
        </c:ser>
        <c:dLbls>
          <c:showLegendKey val="0"/>
          <c:showVal val="0"/>
          <c:showCatName val="0"/>
          <c:showSerName val="0"/>
          <c:showPercent val="0"/>
          <c:showBubbleSize val="0"/>
        </c:dLbls>
        <c:gapWidth val="150"/>
        <c:overlap val="100"/>
        <c:axId val="336766096"/>
        <c:axId val="336763472"/>
      </c:barChart>
      <c:catAx>
        <c:axId val="33676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63472"/>
        <c:crosses val="autoZero"/>
        <c:auto val="1"/>
        <c:lblAlgn val="ctr"/>
        <c:lblOffset val="100"/>
        <c:noMultiLvlLbl val="0"/>
      </c:catAx>
      <c:valAx>
        <c:axId val="336763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6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latin typeface="+mn-lt"/>
                <a:ea typeface="+mn-ea"/>
                <a:cs typeface="+mn-cs"/>
              </a:rPr>
              <a:t>Average</a:t>
            </a:r>
            <a:r>
              <a:rPr lang="en-IN" b="1"/>
              <a:t> </a:t>
            </a:r>
            <a:r>
              <a:rPr lang="en-IN" b="1">
                <a:solidFill>
                  <a:schemeClr val="tx1"/>
                </a:solidFill>
              </a:rPr>
              <a:t>Scores of all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Tables'!$G$3</c:f>
              <c:strCache>
                <c:ptCount val="1"/>
                <c:pt idx="0">
                  <c:v>Average of Math_Score</c:v>
                </c:pt>
              </c:strCache>
            </c:strRef>
          </c:tx>
          <c:spPr>
            <a:solidFill>
              <a:schemeClr val="accent5">
                <a:shade val="65000"/>
              </a:schemeClr>
            </a:solidFill>
            <a:ln>
              <a:noFill/>
            </a:ln>
            <a:effectLst/>
          </c:spPr>
          <c:invertIfNegative val="0"/>
          <c:cat>
            <c:strRef>
              <c:f>'Pivot Tables'!$F$4:$F$24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Tables'!$G$4:$G$24</c:f>
              <c:numCache>
                <c:formatCode>General</c:formatCode>
                <c:ptCount val="20"/>
                <c:pt idx="0">
                  <c:v>75</c:v>
                </c:pt>
                <c:pt idx="1">
                  <c:v>97</c:v>
                </c:pt>
                <c:pt idx="2">
                  <c:v>77</c:v>
                </c:pt>
                <c:pt idx="3">
                  <c:v>55</c:v>
                </c:pt>
                <c:pt idx="4">
                  <c:v>57</c:v>
                </c:pt>
                <c:pt idx="5">
                  <c:v>89</c:v>
                </c:pt>
                <c:pt idx="6">
                  <c:v>59</c:v>
                </c:pt>
                <c:pt idx="7">
                  <c:v>97</c:v>
                </c:pt>
                <c:pt idx="8">
                  <c:v>84</c:v>
                </c:pt>
                <c:pt idx="9">
                  <c:v>66</c:v>
                </c:pt>
                <c:pt idx="10">
                  <c:v>62</c:v>
                </c:pt>
                <c:pt idx="11">
                  <c:v>57</c:v>
                </c:pt>
                <c:pt idx="12">
                  <c:v>74</c:v>
                </c:pt>
                <c:pt idx="13">
                  <c:v>89</c:v>
                </c:pt>
                <c:pt idx="14">
                  <c:v>64</c:v>
                </c:pt>
                <c:pt idx="15">
                  <c:v>92</c:v>
                </c:pt>
                <c:pt idx="16">
                  <c:v>98</c:v>
                </c:pt>
                <c:pt idx="17">
                  <c:v>82</c:v>
                </c:pt>
                <c:pt idx="18">
                  <c:v>76</c:v>
                </c:pt>
                <c:pt idx="19">
                  <c:v>83</c:v>
                </c:pt>
              </c:numCache>
            </c:numRef>
          </c:val>
          <c:extLst>
            <c:ext xmlns:c16="http://schemas.microsoft.com/office/drawing/2014/chart" uri="{C3380CC4-5D6E-409C-BE32-E72D297353CC}">
              <c16:uniqueId val="{00000000-CD14-499A-9B84-8566DEA97AD9}"/>
            </c:ext>
          </c:extLst>
        </c:ser>
        <c:ser>
          <c:idx val="1"/>
          <c:order val="1"/>
          <c:tx>
            <c:strRef>
              <c:f>'Pivot Tables'!$H$3</c:f>
              <c:strCache>
                <c:ptCount val="1"/>
                <c:pt idx="0">
                  <c:v>Average of Reading_Score</c:v>
                </c:pt>
              </c:strCache>
            </c:strRef>
          </c:tx>
          <c:spPr>
            <a:solidFill>
              <a:schemeClr val="accent5"/>
            </a:solidFill>
            <a:ln>
              <a:noFill/>
            </a:ln>
            <a:effectLst/>
          </c:spPr>
          <c:invertIfNegative val="0"/>
          <c:cat>
            <c:strRef>
              <c:f>'Pivot Tables'!$F$4:$F$24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Tables'!$H$4:$H$24</c:f>
              <c:numCache>
                <c:formatCode>General</c:formatCode>
                <c:ptCount val="20"/>
                <c:pt idx="0">
                  <c:v>96</c:v>
                </c:pt>
                <c:pt idx="1">
                  <c:v>82</c:v>
                </c:pt>
                <c:pt idx="2">
                  <c:v>60</c:v>
                </c:pt>
                <c:pt idx="3">
                  <c:v>82</c:v>
                </c:pt>
                <c:pt idx="4">
                  <c:v>74</c:v>
                </c:pt>
                <c:pt idx="5">
                  <c:v>96</c:v>
                </c:pt>
                <c:pt idx="6">
                  <c:v>67</c:v>
                </c:pt>
                <c:pt idx="7">
                  <c:v>56</c:v>
                </c:pt>
                <c:pt idx="8">
                  <c:v>72</c:v>
                </c:pt>
                <c:pt idx="9">
                  <c:v>62</c:v>
                </c:pt>
                <c:pt idx="10">
                  <c:v>94</c:v>
                </c:pt>
                <c:pt idx="11">
                  <c:v>57</c:v>
                </c:pt>
                <c:pt idx="12">
                  <c:v>81</c:v>
                </c:pt>
                <c:pt idx="13">
                  <c:v>83</c:v>
                </c:pt>
                <c:pt idx="14">
                  <c:v>56</c:v>
                </c:pt>
                <c:pt idx="15">
                  <c:v>95</c:v>
                </c:pt>
                <c:pt idx="16">
                  <c:v>88</c:v>
                </c:pt>
                <c:pt idx="17">
                  <c:v>59</c:v>
                </c:pt>
                <c:pt idx="18">
                  <c:v>60</c:v>
                </c:pt>
                <c:pt idx="19">
                  <c:v>95</c:v>
                </c:pt>
              </c:numCache>
            </c:numRef>
          </c:val>
          <c:extLst>
            <c:ext xmlns:c16="http://schemas.microsoft.com/office/drawing/2014/chart" uri="{C3380CC4-5D6E-409C-BE32-E72D297353CC}">
              <c16:uniqueId val="{00000001-CD14-499A-9B84-8566DEA97AD9}"/>
            </c:ext>
          </c:extLst>
        </c:ser>
        <c:ser>
          <c:idx val="2"/>
          <c:order val="2"/>
          <c:tx>
            <c:strRef>
              <c:f>'Pivot Tables'!$I$3</c:f>
              <c:strCache>
                <c:ptCount val="1"/>
                <c:pt idx="0">
                  <c:v>Average of Writing_Score</c:v>
                </c:pt>
              </c:strCache>
            </c:strRef>
          </c:tx>
          <c:spPr>
            <a:solidFill>
              <a:schemeClr val="accent5">
                <a:tint val="65000"/>
              </a:schemeClr>
            </a:solidFill>
            <a:ln>
              <a:noFill/>
            </a:ln>
            <a:effectLst/>
          </c:spPr>
          <c:invertIfNegative val="0"/>
          <c:cat>
            <c:strRef>
              <c:f>'Pivot Tables'!$F$4:$F$24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 Tables'!$I$4:$I$24</c:f>
              <c:numCache>
                <c:formatCode>General</c:formatCode>
                <c:ptCount val="20"/>
                <c:pt idx="0">
                  <c:v>72</c:v>
                </c:pt>
                <c:pt idx="1">
                  <c:v>79</c:v>
                </c:pt>
                <c:pt idx="2">
                  <c:v>69</c:v>
                </c:pt>
                <c:pt idx="3">
                  <c:v>80</c:v>
                </c:pt>
                <c:pt idx="4">
                  <c:v>84</c:v>
                </c:pt>
                <c:pt idx="5">
                  <c:v>83</c:v>
                </c:pt>
                <c:pt idx="6">
                  <c:v>82</c:v>
                </c:pt>
                <c:pt idx="7">
                  <c:v>60</c:v>
                </c:pt>
                <c:pt idx="8">
                  <c:v>71</c:v>
                </c:pt>
                <c:pt idx="9">
                  <c:v>84</c:v>
                </c:pt>
                <c:pt idx="10">
                  <c:v>83</c:v>
                </c:pt>
                <c:pt idx="11">
                  <c:v>69</c:v>
                </c:pt>
                <c:pt idx="12">
                  <c:v>91</c:v>
                </c:pt>
                <c:pt idx="13">
                  <c:v>87</c:v>
                </c:pt>
                <c:pt idx="14">
                  <c:v>84</c:v>
                </c:pt>
                <c:pt idx="15">
                  <c:v>85</c:v>
                </c:pt>
                <c:pt idx="16">
                  <c:v>64</c:v>
                </c:pt>
                <c:pt idx="17">
                  <c:v>78</c:v>
                </c:pt>
                <c:pt idx="18">
                  <c:v>61</c:v>
                </c:pt>
                <c:pt idx="19">
                  <c:v>95</c:v>
                </c:pt>
              </c:numCache>
            </c:numRef>
          </c:val>
          <c:extLst>
            <c:ext xmlns:c16="http://schemas.microsoft.com/office/drawing/2014/chart" uri="{C3380CC4-5D6E-409C-BE32-E72D297353CC}">
              <c16:uniqueId val="{00000002-CD14-499A-9B84-8566DEA97AD9}"/>
            </c:ext>
          </c:extLst>
        </c:ser>
        <c:dLbls>
          <c:showLegendKey val="0"/>
          <c:showVal val="0"/>
          <c:showCatName val="0"/>
          <c:showSerName val="0"/>
          <c:showPercent val="0"/>
          <c:showBubbleSize val="0"/>
        </c:dLbls>
        <c:gapWidth val="150"/>
        <c:overlap val="100"/>
        <c:axId val="429809864"/>
        <c:axId val="429802648"/>
      </c:barChart>
      <c:catAx>
        <c:axId val="429809864"/>
        <c:scaling>
          <c:orientation val="minMax"/>
        </c:scaling>
        <c:delete val="1"/>
        <c:axPos val="b"/>
        <c:numFmt formatCode="General" sourceLinked="1"/>
        <c:majorTickMark val="none"/>
        <c:minorTickMark val="none"/>
        <c:tickLblPos val="nextTo"/>
        <c:crossAx val="429802648"/>
        <c:crosses val="autoZero"/>
        <c:auto val="1"/>
        <c:lblAlgn val="ctr"/>
        <c:lblOffset val="100"/>
        <c:noMultiLvlLbl val="0"/>
      </c:catAx>
      <c:valAx>
        <c:axId val="429802648"/>
        <c:scaling>
          <c:orientation val="minMax"/>
        </c:scaling>
        <c:delete val="1"/>
        <c:axPos val="l"/>
        <c:numFmt formatCode="General" sourceLinked="1"/>
        <c:majorTickMark val="none"/>
        <c:minorTickMark val="none"/>
        <c:tickLblPos val="nextTo"/>
        <c:crossAx val="429809864"/>
        <c:crosses val="autoZero"/>
        <c:crossBetween val="between"/>
      </c:valAx>
      <c:spPr>
        <a:noFill/>
        <a:ln>
          <a:noFill/>
        </a:ln>
        <a:effectLst/>
      </c:spPr>
    </c:plotArea>
    <c:legend>
      <c:legendPos val="r"/>
      <c:layout>
        <c:manualLayout>
          <c:xMode val="edge"/>
          <c:yMode val="edge"/>
          <c:x val="0.67198053368328958"/>
          <c:y val="0.36378608923884515"/>
          <c:w val="0.3113527996500437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Scores of Subjects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Tables'!$A$16</c:f>
              <c:strCache>
                <c:ptCount val="1"/>
                <c:pt idx="0">
                  <c:v>Average of Math_Score</c:v>
                </c:pt>
              </c:strCache>
            </c:strRef>
          </c:tx>
          <c:spPr>
            <a:solidFill>
              <a:schemeClr val="accent5">
                <a:shade val="65000"/>
              </a:schemeClr>
            </a:solidFill>
            <a:ln>
              <a:noFill/>
            </a:ln>
            <a:effectLst/>
          </c:spPr>
          <c:invertIfNegative val="0"/>
          <c:cat>
            <c:strRef>
              <c:f>'Pivot Tables'!$A$17</c:f>
              <c:strCache>
                <c:ptCount val="1"/>
                <c:pt idx="0">
                  <c:v>Total</c:v>
                </c:pt>
              </c:strCache>
            </c:strRef>
          </c:cat>
          <c:val>
            <c:numRef>
              <c:f>'Pivot Tables'!$A$17</c:f>
              <c:numCache>
                <c:formatCode>General</c:formatCode>
                <c:ptCount val="1"/>
                <c:pt idx="0">
                  <c:v>76.650000000000006</c:v>
                </c:pt>
              </c:numCache>
            </c:numRef>
          </c:val>
          <c:extLst>
            <c:ext xmlns:c16="http://schemas.microsoft.com/office/drawing/2014/chart" uri="{C3380CC4-5D6E-409C-BE32-E72D297353CC}">
              <c16:uniqueId val="{00000000-53BD-4847-9FC1-BBF184503318}"/>
            </c:ext>
          </c:extLst>
        </c:ser>
        <c:ser>
          <c:idx val="1"/>
          <c:order val="1"/>
          <c:tx>
            <c:strRef>
              <c:f>'Pivot Tables'!$B$16</c:f>
              <c:strCache>
                <c:ptCount val="1"/>
                <c:pt idx="0">
                  <c:v>Average of Reading_Score</c:v>
                </c:pt>
              </c:strCache>
            </c:strRef>
          </c:tx>
          <c:spPr>
            <a:solidFill>
              <a:schemeClr val="accent5"/>
            </a:solidFill>
            <a:ln>
              <a:noFill/>
            </a:ln>
            <a:effectLst/>
          </c:spPr>
          <c:invertIfNegative val="0"/>
          <c:cat>
            <c:strRef>
              <c:f>'Pivot Tables'!$A$17</c:f>
              <c:strCache>
                <c:ptCount val="1"/>
                <c:pt idx="0">
                  <c:v>Total</c:v>
                </c:pt>
              </c:strCache>
            </c:strRef>
          </c:cat>
          <c:val>
            <c:numRef>
              <c:f>'Pivot Tables'!$B$17</c:f>
              <c:numCache>
                <c:formatCode>General</c:formatCode>
                <c:ptCount val="1"/>
                <c:pt idx="0">
                  <c:v>75.75</c:v>
                </c:pt>
              </c:numCache>
            </c:numRef>
          </c:val>
          <c:extLst>
            <c:ext xmlns:c16="http://schemas.microsoft.com/office/drawing/2014/chart" uri="{C3380CC4-5D6E-409C-BE32-E72D297353CC}">
              <c16:uniqueId val="{00000001-53BD-4847-9FC1-BBF184503318}"/>
            </c:ext>
          </c:extLst>
        </c:ser>
        <c:ser>
          <c:idx val="2"/>
          <c:order val="2"/>
          <c:tx>
            <c:strRef>
              <c:f>'Pivot Tables'!$C$16</c:f>
              <c:strCache>
                <c:ptCount val="1"/>
                <c:pt idx="0">
                  <c:v>Average of Writing_Score</c:v>
                </c:pt>
              </c:strCache>
            </c:strRef>
          </c:tx>
          <c:spPr>
            <a:solidFill>
              <a:schemeClr val="accent5">
                <a:tint val="65000"/>
              </a:schemeClr>
            </a:solidFill>
            <a:ln>
              <a:noFill/>
            </a:ln>
            <a:effectLst/>
          </c:spPr>
          <c:invertIfNegative val="0"/>
          <c:cat>
            <c:strRef>
              <c:f>'Pivot Tables'!$A$17</c:f>
              <c:strCache>
                <c:ptCount val="1"/>
                <c:pt idx="0">
                  <c:v>Total</c:v>
                </c:pt>
              </c:strCache>
            </c:strRef>
          </c:cat>
          <c:val>
            <c:numRef>
              <c:f>'Pivot Tables'!$C$17</c:f>
              <c:numCache>
                <c:formatCode>General</c:formatCode>
                <c:ptCount val="1"/>
                <c:pt idx="0">
                  <c:v>78.05</c:v>
                </c:pt>
              </c:numCache>
            </c:numRef>
          </c:val>
          <c:extLst>
            <c:ext xmlns:c16="http://schemas.microsoft.com/office/drawing/2014/chart" uri="{C3380CC4-5D6E-409C-BE32-E72D297353CC}">
              <c16:uniqueId val="{00000002-53BD-4847-9FC1-BBF184503318}"/>
            </c:ext>
          </c:extLst>
        </c:ser>
        <c:dLbls>
          <c:showLegendKey val="0"/>
          <c:showVal val="0"/>
          <c:showCatName val="0"/>
          <c:showSerName val="0"/>
          <c:showPercent val="0"/>
          <c:showBubbleSize val="0"/>
        </c:dLbls>
        <c:gapWidth val="182"/>
        <c:axId val="335829656"/>
        <c:axId val="335831296"/>
      </c:barChart>
      <c:catAx>
        <c:axId val="335829656"/>
        <c:scaling>
          <c:orientation val="minMax"/>
        </c:scaling>
        <c:delete val="1"/>
        <c:axPos val="l"/>
        <c:numFmt formatCode="General" sourceLinked="1"/>
        <c:majorTickMark val="out"/>
        <c:minorTickMark val="none"/>
        <c:tickLblPos val="nextTo"/>
        <c:crossAx val="335831296"/>
        <c:crosses val="autoZero"/>
        <c:auto val="1"/>
        <c:lblAlgn val="ctr"/>
        <c:lblOffset val="100"/>
        <c:noMultiLvlLbl val="0"/>
      </c:catAx>
      <c:valAx>
        <c:axId val="335831296"/>
        <c:scaling>
          <c:orientation val="minMax"/>
        </c:scaling>
        <c:delete val="1"/>
        <c:axPos val="b"/>
        <c:numFmt formatCode="General" sourceLinked="1"/>
        <c:majorTickMark val="out"/>
        <c:minorTickMark val="none"/>
        <c:tickLblPos val="nextTo"/>
        <c:crossAx val="335829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Scores by Gender</a:t>
            </a:r>
          </a:p>
        </c:rich>
      </c:tx>
      <c:layout>
        <c:manualLayout>
          <c:xMode val="edge"/>
          <c:yMode val="edge"/>
          <c:x val="0.2716458880139982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pivotFmt>
      <c:pivotFmt>
        <c:idx val="12"/>
        <c:spPr>
          <a:solidFill>
            <a:schemeClr val="accent5"/>
          </a:solidFill>
          <a:ln>
            <a:noFill/>
          </a:ln>
          <a:effectLst/>
        </c:spPr>
        <c:marker>
          <c:symbol val="none"/>
        </c:marker>
      </c:pivotFmt>
      <c:pivotFmt>
        <c:idx val="13"/>
        <c:spPr>
          <a:solidFill>
            <a:schemeClr val="accent5"/>
          </a:solidFill>
          <a:ln>
            <a:noFill/>
          </a:ln>
          <a:effectLst/>
        </c:spPr>
        <c:marker>
          <c:symbol val="none"/>
        </c:marker>
      </c:pivotFmt>
      <c:pivotFmt>
        <c:idx val="14"/>
        <c:spPr>
          <a:solidFill>
            <a:schemeClr val="accent5"/>
          </a:solidFill>
          <a:ln>
            <a:noFill/>
          </a:ln>
          <a:effectLst/>
        </c:spPr>
        <c:marker>
          <c:symbol val="none"/>
        </c:marker>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Average of Math_Score</c:v>
                </c:pt>
              </c:strCache>
            </c:strRef>
          </c:tx>
          <c:spPr>
            <a:solidFill>
              <a:schemeClr val="accent5">
                <a:shade val="65000"/>
              </a:schemeClr>
            </a:solidFill>
            <a:ln>
              <a:noFill/>
            </a:ln>
            <a:effectLst/>
          </c:spPr>
          <c:invertIfNegative val="0"/>
          <c:cat>
            <c:strRef>
              <c:f>'Pivot Tables'!$A$4:$A$6</c:f>
              <c:strCache>
                <c:ptCount val="2"/>
                <c:pt idx="0">
                  <c:v>F</c:v>
                </c:pt>
                <c:pt idx="1">
                  <c:v>M</c:v>
                </c:pt>
              </c:strCache>
            </c:strRef>
          </c:cat>
          <c:val>
            <c:numRef>
              <c:f>'Pivot Tables'!$B$4:$B$6</c:f>
              <c:numCache>
                <c:formatCode>General</c:formatCode>
                <c:ptCount val="2"/>
                <c:pt idx="0">
                  <c:v>78.545454545454547</c:v>
                </c:pt>
                <c:pt idx="1">
                  <c:v>74.333333333333329</c:v>
                </c:pt>
              </c:numCache>
            </c:numRef>
          </c:val>
          <c:extLst>
            <c:ext xmlns:c16="http://schemas.microsoft.com/office/drawing/2014/chart" uri="{C3380CC4-5D6E-409C-BE32-E72D297353CC}">
              <c16:uniqueId val="{00000000-8F63-4D7C-A0AC-6C2D05DC744C}"/>
            </c:ext>
          </c:extLst>
        </c:ser>
        <c:ser>
          <c:idx val="1"/>
          <c:order val="1"/>
          <c:tx>
            <c:strRef>
              <c:f>'Pivot Tables'!$C$3</c:f>
              <c:strCache>
                <c:ptCount val="1"/>
                <c:pt idx="0">
                  <c:v>Average of Reading_Score</c:v>
                </c:pt>
              </c:strCache>
            </c:strRef>
          </c:tx>
          <c:spPr>
            <a:solidFill>
              <a:schemeClr val="accent5"/>
            </a:solidFill>
            <a:ln>
              <a:noFill/>
            </a:ln>
            <a:effectLst/>
          </c:spPr>
          <c:invertIfNegative val="0"/>
          <c:cat>
            <c:strRef>
              <c:f>'Pivot Tables'!$A$4:$A$6</c:f>
              <c:strCache>
                <c:ptCount val="2"/>
                <c:pt idx="0">
                  <c:v>F</c:v>
                </c:pt>
                <c:pt idx="1">
                  <c:v>M</c:v>
                </c:pt>
              </c:strCache>
            </c:strRef>
          </c:cat>
          <c:val>
            <c:numRef>
              <c:f>'Pivot Tables'!$C$4:$C$6</c:f>
              <c:numCache>
                <c:formatCode>General</c:formatCode>
                <c:ptCount val="2"/>
                <c:pt idx="0">
                  <c:v>75.727272727272734</c:v>
                </c:pt>
                <c:pt idx="1">
                  <c:v>75.777777777777771</c:v>
                </c:pt>
              </c:numCache>
            </c:numRef>
          </c:val>
          <c:extLst>
            <c:ext xmlns:c16="http://schemas.microsoft.com/office/drawing/2014/chart" uri="{C3380CC4-5D6E-409C-BE32-E72D297353CC}">
              <c16:uniqueId val="{00000001-8F63-4D7C-A0AC-6C2D05DC744C}"/>
            </c:ext>
          </c:extLst>
        </c:ser>
        <c:ser>
          <c:idx val="2"/>
          <c:order val="2"/>
          <c:tx>
            <c:strRef>
              <c:f>'Pivot Tables'!$D$3</c:f>
              <c:strCache>
                <c:ptCount val="1"/>
                <c:pt idx="0">
                  <c:v>Average of Writing_Score</c:v>
                </c:pt>
              </c:strCache>
            </c:strRef>
          </c:tx>
          <c:spPr>
            <a:solidFill>
              <a:schemeClr val="accent5">
                <a:tint val="65000"/>
              </a:schemeClr>
            </a:solidFill>
            <a:ln>
              <a:noFill/>
            </a:ln>
            <a:effectLst/>
          </c:spPr>
          <c:invertIfNegative val="0"/>
          <c:cat>
            <c:strRef>
              <c:f>'Pivot Tables'!$A$4:$A$6</c:f>
              <c:strCache>
                <c:ptCount val="2"/>
                <c:pt idx="0">
                  <c:v>F</c:v>
                </c:pt>
                <c:pt idx="1">
                  <c:v>M</c:v>
                </c:pt>
              </c:strCache>
            </c:strRef>
          </c:cat>
          <c:val>
            <c:numRef>
              <c:f>'Pivot Tables'!$D$4:$D$6</c:f>
              <c:numCache>
                <c:formatCode>General</c:formatCode>
                <c:ptCount val="2"/>
                <c:pt idx="0">
                  <c:v>78.727272727272734</c:v>
                </c:pt>
                <c:pt idx="1">
                  <c:v>77.222222222222229</c:v>
                </c:pt>
              </c:numCache>
            </c:numRef>
          </c:val>
          <c:extLst>
            <c:ext xmlns:c16="http://schemas.microsoft.com/office/drawing/2014/chart" uri="{C3380CC4-5D6E-409C-BE32-E72D297353CC}">
              <c16:uniqueId val="{00000002-8F63-4D7C-A0AC-6C2D05DC744C}"/>
            </c:ext>
          </c:extLst>
        </c:ser>
        <c:dLbls>
          <c:showLegendKey val="0"/>
          <c:showVal val="0"/>
          <c:showCatName val="0"/>
          <c:showSerName val="0"/>
          <c:showPercent val="0"/>
          <c:showBubbleSize val="0"/>
        </c:dLbls>
        <c:gapWidth val="182"/>
        <c:axId val="304204280"/>
        <c:axId val="304204608"/>
      </c:barChart>
      <c:catAx>
        <c:axId val="304204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204608"/>
        <c:crosses val="autoZero"/>
        <c:auto val="1"/>
        <c:lblAlgn val="ctr"/>
        <c:lblOffset val="100"/>
        <c:noMultiLvlLbl val="0"/>
      </c:catAx>
      <c:valAx>
        <c:axId val="304204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204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Tables!PivotTable5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of students by Classes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pivotFmt>
      <c:pivotFmt>
        <c:idx val="1"/>
        <c:spPr>
          <a:solidFill>
            <a:schemeClr val="accent5"/>
          </a:solidFill>
          <a:ln w="19050">
            <a:solidFill>
              <a:schemeClr val="lt1"/>
            </a:solidFill>
          </a:ln>
          <a:effectLst/>
        </c:spPr>
        <c:marker>
          <c:symbol val="none"/>
        </c:marke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marker>
          <c:symbol val="none"/>
        </c:marke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hade val="65000"/>
            </a:schemeClr>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tint val="65000"/>
            </a:schemeClr>
          </a:solidFill>
          <a:ln w="19050">
            <a:solidFill>
              <a:schemeClr val="lt1"/>
            </a:solidFill>
          </a:ln>
          <a:effectLst/>
        </c:spPr>
      </c:pivotFmt>
    </c:pivotFmts>
    <c:plotArea>
      <c:layout/>
      <c:doughnutChart>
        <c:varyColors val="1"/>
        <c:ser>
          <c:idx val="0"/>
          <c:order val="0"/>
          <c:tx>
            <c:strRef>
              <c:f>'Pivot Tables'!$B$20</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DC0C-4219-857C-C4C3183D58B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C0C-4219-857C-C4C3183D58BB}"/>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DC0C-4219-857C-C4C3183D58BB}"/>
              </c:ext>
            </c:extLst>
          </c:dPt>
          <c:cat>
            <c:strRef>
              <c:f>'Pivot Tables'!$A$21:$A$24</c:f>
              <c:strCache>
                <c:ptCount val="3"/>
                <c:pt idx="0">
                  <c:v>A</c:v>
                </c:pt>
                <c:pt idx="1">
                  <c:v>B</c:v>
                </c:pt>
                <c:pt idx="2">
                  <c:v>C</c:v>
                </c:pt>
              </c:strCache>
            </c:strRef>
          </c:cat>
          <c:val>
            <c:numRef>
              <c:f>'Pivot Tables'!$B$21:$B$24</c:f>
              <c:numCache>
                <c:formatCode>General</c:formatCode>
                <c:ptCount val="3"/>
                <c:pt idx="0">
                  <c:v>7</c:v>
                </c:pt>
                <c:pt idx="1">
                  <c:v>7</c:v>
                </c:pt>
                <c:pt idx="2">
                  <c:v>6</c:v>
                </c:pt>
              </c:numCache>
            </c:numRef>
          </c:val>
          <c:extLst>
            <c:ext xmlns:c16="http://schemas.microsoft.com/office/drawing/2014/chart" uri="{C3380CC4-5D6E-409C-BE32-E72D297353CC}">
              <c16:uniqueId val="{00000006-DC0C-4219-857C-C4C3183D58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4</xdr:col>
      <xdr:colOff>19050</xdr:colOff>
      <xdr:row>13</xdr:row>
      <xdr:rowOff>180975</xdr:rowOff>
    </xdr:from>
    <xdr:to>
      <xdr:col>9</xdr:col>
      <xdr:colOff>342900</xdr:colOff>
      <xdr:row>26</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457199</xdr:colOff>
      <xdr:row>0</xdr:row>
      <xdr:rowOff>200026</xdr:rowOff>
    </xdr:from>
    <xdr:to>
      <xdr:col>18</xdr:col>
      <xdr:colOff>333375</xdr:colOff>
      <xdr:row>13</xdr:row>
      <xdr:rowOff>28575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342900</xdr:colOff>
      <xdr:row>14</xdr:row>
      <xdr:rowOff>0</xdr:rowOff>
    </xdr:from>
    <xdr:to>
      <xdr:col>18</xdr:col>
      <xdr:colOff>600076</xdr:colOff>
      <xdr:row>25</xdr:row>
      <xdr:rowOff>161925</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0</xdr:row>
      <xdr:rowOff>209550</xdr:rowOff>
    </xdr:from>
    <xdr:to>
      <xdr:col>11</xdr:col>
      <xdr:colOff>285750</xdr:colOff>
      <xdr:row>13</xdr:row>
      <xdr:rowOff>38100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438150</xdr:colOff>
      <xdr:row>13</xdr:row>
      <xdr:rowOff>180975</xdr:rowOff>
    </xdr:from>
    <xdr:to>
      <xdr:col>13</xdr:col>
      <xdr:colOff>238125</xdr:colOff>
      <xdr:row>25</xdr:row>
      <xdr:rowOff>161925</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285750</xdr:colOff>
      <xdr:row>5</xdr:row>
      <xdr:rowOff>135732</xdr:rowOff>
    </xdr:from>
    <xdr:to>
      <xdr:col>3</xdr:col>
      <xdr:colOff>285750</xdr:colOff>
      <xdr:row>11</xdr:row>
      <xdr:rowOff>135732</xdr:rowOff>
    </xdr:to>
    <mc:AlternateContent xmlns:mc="http://schemas.openxmlformats.org/markup-compatibility/2006" xmlns:a14="http://schemas.microsoft.com/office/drawing/2010/main">
      <mc:Choice Requires="a14">
        <xdr:graphicFrame macro="">
          <xdr:nvGraphicFramePr>
            <xdr:cNvPr id="10" name="Student_ID">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285750" y="1326357"/>
              <a:ext cx="1821656"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12</xdr:row>
      <xdr:rowOff>123826</xdr:rowOff>
    </xdr:from>
    <xdr:to>
      <xdr:col>3</xdr:col>
      <xdr:colOff>276225</xdr:colOff>
      <xdr:row>17</xdr:row>
      <xdr:rowOff>142876</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6225" y="2647951"/>
              <a:ext cx="1821656"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18</xdr:row>
      <xdr:rowOff>142875</xdr:rowOff>
    </xdr:from>
    <xdr:to>
      <xdr:col>3</xdr:col>
      <xdr:colOff>266700</xdr:colOff>
      <xdr:row>24</xdr:row>
      <xdr:rowOff>95250</xdr:rowOff>
    </xdr:to>
    <mc:AlternateContent xmlns:mc="http://schemas.openxmlformats.org/markup-compatibility/2006" xmlns:a14="http://schemas.microsoft.com/office/drawing/2010/main">
      <mc:Choice Requires="a14">
        <xdr:graphicFrame macro="">
          <xdr:nvGraphicFramePr>
            <xdr:cNvPr id="12" name="Class">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266700" y="3810000"/>
              <a:ext cx="1821656"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5.506616087965" createdVersion="6" refreshedVersion="6" minRefreshableVersion="3" recordCount="20" xr:uid="{00000000-000A-0000-FFFF-FFFF00000000}">
  <cacheSource type="worksheet">
    <worksheetSource name="Table1"/>
  </cacheSource>
  <cacheFields count="6">
    <cacheField name="Student_ID" numFmtId="0">
      <sharedItems containsSemiMixedTypes="0" containsString="0" containsNumber="1" containsInteger="1" minValue="1" maxValue="20" count="20">
        <n v="1"/>
        <n v="2"/>
        <n v="3"/>
        <n v="4"/>
        <n v="5"/>
        <n v="6"/>
        <n v="7"/>
        <n v="8"/>
        <n v="9"/>
        <n v="10"/>
        <n v="11"/>
        <n v="12"/>
        <n v="13"/>
        <n v="14"/>
        <n v="15"/>
        <n v="16"/>
        <n v="17"/>
        <n v="18"/>
        <n v="19"/>
        <n v="20"/>
      </sharedItems>
    </cacheField>
    <cacheField name="Gender" numFmtId="0">
      <sharedItems count="2">
        <s v="F"/>
        <s v="M"/>
      </sharedItems>
    </cacheField>
    <cacheField name="Class" numFmtId="0">
      <sharedItems count="3">
        <s v="A"/>
        <s v="B"/>
        <s v="C"/>
      </sharedItems>
    </cacheField>
    <cacheField name="Math_Score" numFmtId="0">
      <sharedItems containsSemiMixedTypes="0" containsString="0" containsNumber="1" containsInteger="1" minValue="55" maxValue="98" count="17">
        <n v="75"/>
        <n v="97"/>
        <n v="77"/>
        <n v="55"/>
        <n v="57"/>
        <n v="89"/>
        <n v="59"/>
        <n v="84"/>
        <n v="66"/>
        <n v="62"/>
        <n v="74"/>
        <n v="64"/>
        <n v="92"/>
        <n v="98"/>
        <n v="82"/>
        <n v="76"/>
        <n v="83"/>
      </sharedItems>
    </cacheField>
    <cacheField name="Reading_Score" numFmtId="0">
      <sharedItems containsSemiMixedTypes="0" containsString="0" containsNumber="1" containsInteger="1" minValue="56" maxValue="96" count="15">
        <n v="96"/>
        <n v="82"/>
        <n v="60"/>
        <n v="74"/>
        <n v="67"/>
        <n v="56"/>
        <n v="72"/>
        <n v="62"/>
        <n v="94"/>
        <n v="57"/>
        <n v="81"/>
        <n v="83"/>
        <n v="95"/>
        <n v="88"/>
        <n v="59"/>
      </sharedItems>
    </cacheField>
    <cacheField name="Writing_Score" numFmtId="0">
      <sharedItems containsSemiMixedTypes="0" containsString="0" containsNumber="1" containsInteger="1" minValue="60" maxValue="95" count="16">
        <n v="72"/>
        <n v="79"/>
        <n v="69"/>
        <n v="80"/>
        <n v="84"/>
        <n v="83"/>
        <n v="82"/>
        <n v="60"/>
        <n v="71"/>
        <n v="91"/>
        <n v="87"/>
        <n v="85"/>
        <n v="64"/>
        <n v="78"/>
        <n v="61"/>
        <n v="9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x v="0"/>
    <x v="0"/>
    <x v="0"/>
  </r>
  <r>
    <x v="1"/>
    <x v="1"/>
    <x v="1"/>
    <x v="1"/>
    <x v="1"/>
    <x v="1"/>
  </r>
  <r>
    <x v="2"/>
    <x v="0"/>
    <x v="0"/>
    <x v="2"/>
    <x v="2"/>
    <x v="2"/>
  </r>
  <r>
    <x v="3"/>
    <x v="1"/>
    <x v="2"/>
    <x v="3"/>
    <x v="1"/>
    <x v="3"/>
  </r>
  <r>
    <x v="4"/>
    <x v="0"/>
    <x v="1"/>
    <x v="4"/>
    <x v="3"/>
    <x v="4"/>
  </r>
  <r>
    <x v="5"/>
    <x v="0"/>
    <x v="2"/>
    <x v="5"/>
    <x v="0"/>
    <x v="5"/>
  </r>
  <r>
    <x v="6"/>
    <x v="1"/>
    <x v="0"/>
    <x v="6"/>
    <x v="4"/>
    <x v="6"/>
  </r>
  <r>
    <x v="7"/>
    <x v="0"/>
    <x v="1"/>
    <x v="1"/>
    <x v="5"/>
    <x v="7"/>
  </r>
  <r>
    <x v="8"/>
    <x v="1"/>
    <x v="2"/>
    <x v="7"/>
    <x v="6"/>
    <x v="8"/>
  </r>
  <r>
    <x v="9"/>
    <x v="0"/>
    <x v="0"/>
    <x v="8"/>
    <x v="7"/>
    <x v="4"/>
  </r>
  <r>
    <x v="10"/>
    <x v="1"/>
    <x v="1"/>
    <x v="9"/>
    <x v="8"/>
    <x v="5"/>
  </r>
  <r>
    <x v="11"/>
    <x v="0"/>
    <x v="2"/>
    <x v="4"/>
    <x v="9"/>
    <x v="2"/>
  </r>
  <r>
    <x v="12"/>
    <x v="1"/>
    <x v="0"/>
    <x v="10"/>
    <x v="10"/>
    <x v="9"/>
  </r>
  <r>
    <x v="13"/>
    <x v="0"/>
    <x v="1"/>
    <x v="5"/>
    <x v="11"/>
    <x v="10"/>
  </r>
  <r>
    <x v="14"/>
    <x v="1"/>
    <x v="2"/>
    <x v="11"/>
    <x v="5"/>
    <x v="4"/>
  </r>
  <r>
    <x v="15"/>
    <x v="0"/>
    <x v="0"/>
    <x v="12"/>
    <x v="12"/>
    <x v="11"/>
  </r>
  <r>
    <x v="16"/>
    <x v="1"/>
    <x v="1"/>
    <x v="13"/>
    <x v="13"/>
    <x v="12"/>
  </r>
  <r>
    <x v="17"/>
    <x v="0"/>
    <x v="2"/>
    <x v="14"/>
    <x v="14"/>
    <x v="13"/>
  </r>
  <r>
    <x v="18"/>
    <x v="1"/>
    <x v="0"/>
    <x v="15"/>
    <x v="2"/>
    <x v="14"/>
  </r>
  <r>
    <x v="19"/>
    <x v="0"/>
    <x v="1"/>
    <x v="16"/>
    <x v="12"/>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D6" firstHeaderRow="0" firstDataRow="1" firstDataCol="1"/>
  <pivotFields count="6">
    <pivotField showAll="0">
      <items count="21">
        <item x="0"/>
        <item x="1"/>
        <item x="2"/>
        <item x="3"/>
        <item x="4"/>
        <item x="5"/>
        <item x="6"/>
        <item x="7"/>
        <item x="8"/>
        <item x="9"/>
        <item x="10"/>
        <item x="11"/>
        <item x="12"/>
        <item x="13"/>
        <item x="14"/>
        <item x="15"/>
        <item x="16"/>
        <item x="17"/>
        <item x="18"/>
        <item x="19"/>
        <item t="default"/>
      </items>
    </pivotField>
    <pivotField axis="axisRow" showAll="0">
      <items count="3">
        <item x="0"/>
        <item x="1"/>
        <item t="default"/>
      </items>
    </pivotField>
    <pivotField showAll="0">
      <items count="4">
        <item x="0"/>
        <item x="1"/>
        <item x="2"/>
        <item t="default"/>
      </items>
    </pivotField>
    <pivotField dataField="1" showAll="0"/>
    <pivotField dataField="1" showAll="0"/>
    <pivotField dataField="1" showAll="0"/>
  </pivotFields>
  <rowFields count="1">
    <field x="1"/>
  </rowFields>
  <rowItems count="3">
    <i>
      <x/>
    </i>
    <i>
      <x v="1"/>
    </i>
    <i t="grand">
      <x/>
    </i>
  </rowItems>
  <colFields count="1">
    <field x="-2"/>
  </colFields>
  <colItems count="3">
    <i>
      <x/>
    </i>
    <i i="1">
      <x v="1"/>
    </i>
    <i i="2">
      <x v="2"/>
    </i>
  </colItems>
  <dataFields count="3">
    <dataField name="Average of Math_Score" fld="3" subtotal="average" baseField="1" baseItem="0"/>
    <dataField name="Average of Reading_Score" fld="4" subtotal="average" baseField="1" baseItem="0"/>
    <dataField name="Average of Writing_Score" fld="5" subtotal="average" baseField="1"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1" count="1" selected="0">
            <x v="0"/>
          </reference>
        </references>
      </pivotArea>
    </chartFormat>
    <chartFormat chart="6" format="17">
      <pivotArea type="data" outline="0" fieldPosition="0">
        <references count="2">
          <reference field="4294967294" count="1" selected="0">
            <x v="1"/>
          </reference>
          <reference field="1" count="1" selected="0">
            <x v="1"/>
          </reference>
        </references>
      </pivotArea>
    </chartFormat>
    <chartFormat chart="6" format="18" series="1">
      <pivotArea type="data" outline="0" fieldPosition="0">
        <references count="1">
          <reference field="4294967294" count="1" selected="0">
            <x v="2"/>
          </reference>
        </references>
      </pivotArea>
    </chartFormat>
    <chartFormat chart="6" format="19">
      <pivotArea type="data" outline="0" fieldPosition="0">
        <references count="2">
          <reference field="4294967294" count="1" selected="0">
            <x v="2"/>
          </reference>
          <reference field="1" count="1" selected="0">
            <x v="0"/>
          </reference>
        </references>
      </pivotArea>
    </chartFormat>
    <chartFormat chart="6" format="20">
      <pivotArea type="data" outline="0" fieldPosition="0">
        <references count="2">
          <reference field="4294967294" count="1" selected="0">
            <x v="2"/>
          </reference>
          <reference field="1"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6:C17" firstHeaderRow="0" firstDataRow="1" firstDataCol="0"/>
  <pivotFields count="6">
    <pivotField showAll="0"/>
    <pivotField showAll="0">
      <items count="3">
        <item x="0"/>
        <item x="1"/>
        <item t="default"/>
      </items>
    </pivotField>
    <pivotField showAll="0">
      <items count="4">
        <item x="0"/>
        <item x="1"/>
        <item x="2"/>
        <item t="default"/>
      </items>
    </pivotField>
    <pivotField dataField="1" showAll="0"/>
    <pivotField dataField="1" showAll="0"/>
    <pivotField dataField="1" showAll="0"/>
  </pivotFields>
  <rowItems count="1">
    <i/>
  </rowItems>
  <colFields count="1">
    <field x="-2"/>
  </colFields>
  <colItems count="3">
    <i>
      <x/>
    </i>
    <i i="1">
      <x v="1"/>
    </i>
    <i i="2">
      <x v="2"/>
    </i>
  </colItems>
  <dataFields count="3">
    <dataField name="Average of Math_Score" fld="3" subtotal="average" baseField="2" baseItem="0"/>
    <dataField name="Average of Reading_Score" fld="4" subtotal="average" baseField="2" baseItem="0"/>
    <dataField name="Average of Writing_Score" fld="5"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3:I24" firstHeaderRow="0" firstDataRow="1" firstDataCol="1"/>
  <pivotFields count="6">
    <pivotField axis="axisRow" showAll="0">
      <items count="21">
        <item x="0"/>
        <item x="1"/>
        <item x="2"/>
        <item x="3"/>
        <item x="4"/>
        <item x="5"/>
        <item x="6"/>
        <item x="7"/>
        <item x="8"/>
        <item x="9"/>
        <item x="10"/>
        <item x="11"/>
        <item x="12"/>
        <item x="13"/>
        <item x="14"/>
        <item x="15"/>
        <item x="16"/>
        <item x="17"/>
        <item x="18"/>
        <item x="19"/>
        <item t="default"/>
      </items>
    </pivotField>
    <pivotField showAll="0">
      <items count="3">
        <item x="0"/>
        <item x="1"/>
        <item t="default"/>
      </items>
    </pivotField>
    <pivotField showAll="0">
      <items count="4">
        <item x="0"/>
        <item x="1"/>
        <item x="2"/>
        <item t="default"/>
      </items>
    </pivotField>
    <pivotField dataField="1" showAll="0">
      <items count="18">
        <item x="3"/>
        <item x="4"/>
        <item x="6"/>
        <item x="9"/>
        <item x="11"/>
        <item x="8"/>
        <item x="10"/>
        <item x="0"/>
        <item x="15"/>
        <item x="2"/>
        <item x="14"/>
        <item x="16"/>
        <item x="7"/>
        <item x="5"/>
        <item x="12"/>
        <item x="1"/>
        <item x="13"/>
        <item t="default"/>
      </items>
    </pivotField>
    <pivotField dataField="1" showAll="0">
      <items count="16">
        <item x="5"/>
        <item x="9"/>
        <item x="14"/>
        <item x="2"/>
        <item x="7"/>
        <item x="4"/>
        <item x="6"/>
        <item x="3"/>
        <item x="10"/>
        <item x="1"/>
        <item x="11"/>
        <item x="13"/>
        <item x="8"/>
        <item x="12"/>
        <item x="0"/>
        <item t="default"/>
      </items>
    </pivotField>
    <pivotField dataField="1" showAll="0">
      <items count="17">
        <item x="7"/>
        <item x="14"/>
        <item x="12"/>
        <item x="2"/>
        <item x="8"/>
        <item x="0"/>
        <item x="13"/>
        <item x="1"/>
        <item x="3"/>
        <item x="6"/>
        <item x="5"/>
        <item x="4"/>
        <item x="11"/>
        <item x="10"/>
        <item x="9"/>
        <item x="15"/>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Average of Math_Score" fld="3" subtotal="average" baseField="0" baseItem="0"/>
    <dataField name="Average of Reading_Score" fld="4" subtotal="average" baseField="0" baseItem="0"/>
    <dataField name="Average of Writing_Score" fld="5"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20:B24" firstHeaderRow="1" firstDataRow="1" firstDataCol="1"/>
  <pivotFields count="6">
    <pivotField dataField="1" showAll="0">
      <items count="21">
        <item x="0"/>
        <item x="1"/>
        <item x="2"/>
        <item x="3"/>
        <item x="4"/>
        <item x="5"/>
        <item x="6"/>
        <item x="7"/>
        <item x="8"/>
        <item x="9"/>
        <item x="10"/>
        <item x="11"/>
        <item x="12"/>
        <item x="13"/>
        <item x="14"/>
        <item x="15"/>
        <item x="16"/>
        <item x="17"/>
        <item x="18"/>
        <item x="19"/>
        <item t="default"/>
      </items>
    </pivotField>
    <pivotField showAll="0">
      <items count="3">
        <item x="0"/>
        <item x="1"/>
        <item t="default"/>
      </items>
    </pivotField>
    <pivotField axis="axisRow" showAll="0">
      <items count="4">
        <item x="0"/>
        <item x="1"/>
        <item x="2"/>
        <item t="default"/>
      </items>
    </pivotField>
    <pivotField showAll="0"/>
    <pivotField showAll="0"/>
    <pivotField showAll="0"/>
  </pivotFields>
  <rowFields count="1">
    <field x="2"/>
  </rowFields>
  <rowItems count="4">
    <i>
      <x/>
    </i>
    <i>
      <x v="1"/>
    </i>
    <i>
      <x v="2"/>
    </i>
    <i t="grand">
      <x/>
    </i>
  </rowItems>
  <colItems count="1">
    <i/>
  </colItems>
  <dataFields count="1">
    <dataField name="Count of Student_ID" fld="0" subtotal="count" baseField="2" baseItem="0"/>
  </dataFields>
  <chartFormats count="4">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 chart="13" format="12">
      <pivotArea type="data" outline="0" fieldPosition="0">
        <references count="2">
          <reference field="4294967294" count="1" selected="0">
            <x v="0"/>
          </reference>
          <reference field="2" count="1" selected="0">
            <x v="1"/>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D13" firstHeaderRow="0" firstDataRow="1" firstDataCol="1"/>
  <pivotFields count="6">
    <pivotField showAll="0">
      <items count="21">
        <item x="0"/>
        <item x="1"/>
        <item x="2"/>
        <item x="3"/>
        <item x="4"/>
        <item x="5"/>
        <item x="6"/>
        <item x="7"/>
        <item x="8"/>
        <item x="9"/>
        <item x="10"/>
        <item x="11"/>
        <item x="12"/>
        <item x="13"/>
        <item x="14"/>
        <item x="15"/>
        <item x="16"/>
        <item x="17"/>
        <item x="18"/>
        <item x="19"/>
        <item t="default"/>
      </items>
    </pivotField>
    <pivotField showAll="0">
      <items count="3">
        <item x="0"/>
        <item x="1"/>
        <item t="default"/>
      </items>
    </pivotField>
    <pivotField axis="axisRow" showAll="0">
      <items count="4">
        <item x="0"/>
        <item x="1"/>
        <item x="2"/>
        <item t="default"/>
      </items>
    </pivotField>
    <pivotField dataField="1" showAll="0"/>
    <pivotField dataField="1" showAll="0"/>
    <pivotField dataField="1" showAll="0"/>
  </pivotFields>
  <rowFields count="1">
    <field x="2"/>
  </rowFields>
  <rowItems count="4">
    <i>
      <x/>
    </i>
    <i>
      <x v="1"/>
    </i>
    <i>
      <x v="2"/>
    </i>
    <i t="grand">
      <x/>
    </i>
  </rowItems>
  <colFields count="1">
    <field x="-2"/>
  </colFields>
  <colItems count="3">
    <i>
      <x/>
    </i>
    <i i="1">
      <x v="1"/>
    </i>
    <i i="2">
      <x v="2"/>
    </i>
  </colItems>
  <dataFields count="3">
    <dataField name="Average of Math_Score" fld="3" subtotal="average" baseField="2" baseItem="0"/>
    <dataField name="Average of Reading_Score" fld="4" subtotal="average" baseField="2" baseItem="0"/>
    <dataField name="Average of Writing_Score" fld="5"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00000000-0013-0000-FFFF-FFFF01000000}" sourceName="Student_ID">
  <pivotTables>
    <pivotTable tabId="2" name="PivotTable1"/>
    <pivotTable tabId="2" name="PivotTable2"/>
    <pivotTable tabId="2" name="PivotTable5"/>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2" name="PivotTable2"/>
    <pivotTable tabId="2" name="PivotTable3"/>
    <pivotTable tabId="2" name="PivotTable4"/>
    <pivotTable tabId="2" name="PivotTable5"/>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0000000-0013-0000-FFFF-FFFF03000000}" sourceName="Class">
  <pivotTables>
    <pivotTable tabId="2" name="PivotTable1"/>
    <pivotTable tabId="2" name="PivotTable3"/>
    <pivotTable tabId="2" name="PivotTable4"/>
    <pivotTable tabId="2" name="PivotTable5"/>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00000000-0014-0000-FFFF-FFFF01000000}" cache="Slicer_Student_ID" caption="Student_ID" startItem="17" style="SlicerStyleDark1" rowHeight="241300"/>
  <slicer name="Gender" xr10:uid="{00000000-0014-0000-FFFF-FFFF02000000}" cache="Slicer_Gender" caption="Gender" style="SlicerStyleDark1" rowHeight="241300"/>
  <slicer name="Class" xr10:uid="{00000000-0014-0000-FFFF-FFFF03000000}" cache="Slicer_Class" caption="Clas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F22" totalsRowShown="0" headerRowDxfId="10" dataDxfId="8" headerRowBorderDxfId="9" tableBorderDxfId="7" totalsRowBorderDxfId="6">
  <autoFilter ref="A2:F22" xr:uid="{00000000-0009-0000-0100-000001000000}"/>
  <tableColumns count="6">
    <tableColumn id="1" xr3:uid="{00000000-0010-0000-0000-000001000000}" name="Student_ID" dataDxfId="5"/>
    <tableColumn id="2" xr3:uid="{00000000-0010-0000-0000-000002000000}" name="Gender" dataDxfId="4"/>
    <tableColumn id="3" xr3:uid="{00000000-0010-0000-0000-000003000000}" name="Class" dataDxfId="3"/>
    <tableColumn id="4" xr3:uid="{00000000-0010-0000-0000-000004000000}" name="Math_Score" dataDxfId="2">
      <calculatedColumnFormula>RANDBETWEEN(55,98)</calculatedColumnFormula>
    </tableColumn>
    <tableColumn id="5" xr3:uid="{00000000-0010-0000-0000-000005000000}" name="Reading_Score" dataDxfId="1">
      <calculatedColumnFormula>RANDBETWEEN(55,98)</calculatedColumnFormula>
    </tableColumn>
    <tableColumn id="6" xr3:uid="{00000000-0010-0000-0000-000006000000}" name="Writing_Score" dataDxfId="0">
      <calculatedColumnFormula>RANDBETWEEN(55,98)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3.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2"/>
  <sheetViews>
    <sheetView workbookViewId="0">
      <selection activeCell="H21" sqref="H21"/>
    </sheetView>
  </sheetViews>
  <sheetFormatPr defaultRowHeight="15" x14ac:dyDescent="0.2"/>
  <cols>
    <col min="1" max="1" width="15.46875" bestFit="1" customWidth="1"/>
    <col min="2" max="2" width="12.23828125" bestFit="1" customWidth="1"/>
    <col min="3" max="3" width="9.953125" bestFit="1" customWidth="1"/>
    <col min="4" max="4" width="16.140625" bestFit="1" customWidth="1"/>
    <col min="5" max="5" width="18.6953125" bestFit="1" customWidth="1"/>
    <col min="6" max="6" width="18.29296875" bestFit="1" customWidth="1"/>
  </cols>
  <sheetData>
    <row r="2" spans="1:6" x14ac:dyDescent="0.2">
      <c r="A2" s="4" t="s">
        <v>0</v>
      </c>
      <c r="B2" s="5" t="s">
        <v>1</v>
      </c>
      <c r="C2" s="5" t="s">
        <v>2</v>
      </c>
      <c r="D2" s="5" t="s">
        <v>3</v>
      </c>
      <c r="E2" s="5" t="s">
        <v>4</v>
      </c>
      <c r="F2" s="6" t="s">
        <v>5</v>
      </c>
    </row>
    <row r="3" spans="1:6" x14ac:dyDescent="0.2">
      <c r="A3" s="2">
        <v>1</v>
      </c>
      <c r="B3" s="1" t="s">
        <v>6</v>
      </c>
      <c r="C3" s="1" t="s">
        <v>8</v>
      </c>
      <c r="D3" s="1">
        <f ca="1">RANDBETWEEN(55,98)</f>
        <v>83</v>
      </c>
      <c r="E3" s="1">
        <f ca="1">RANDBETWEEN(55,98)</f>
        <v>87</v>
      </c>
      <c r="F3" s="3">
        <f ca="1">RANDBETWEEN(55,98)</f>
        <v>96</v>
      </c>
    </row>
    <row r="4" spans="1:6" x14ac:dyDescent="0.2">
      <c r="A4" s="2">
        <v>2</v>
      </c>
      <c r="B4" s="1" t="s">
        <v>7</v>
      </c>
      <c r="C4" s="1" t="s">
        <v>9</v>
      </c>
      <c r="D4" s="1">
        <f t="shared" ref="D4:F22" ca="1" si="0">RANDBETWEEN(55,98)</f>
        <v>61</v>
      </c>
      <c r="E4" s="1">
        <f t="shared" ca="1" si="0"/>
        <v>79</v>
      </c>
      <c r="F4" s="3">
        <f t="shared" ca="1" si="0"/>
        <v>80</v>
      </c>
    </row>
    <row r="5" spans="1:6" x14ac:dyDescent="0.2">
      <c r="A5" s="2">
        <v>3</v>
      </c>
      <c r="B5" s="1" t="s">
        <v>6</v>
      </c>
      <c r="C5" s="1" t="s">
        <v>8</v>
      </c>
      <c r="D5" s="1">
        <f t="shared" ca="1" si="0"/>
        <v>89</v>
      </c>
      <c r="E5" s="1">
        <f t="shared" ca="1" si="0"/>
        <v>60</v>
      </c>
      <c r="F5" s="3">
        <f t="shared" ca="1" si="0"/>
        <v>88</v>
      </c>
    </row>
    <row r="6" spans="1:6" x14ac:dyDescent="0.2">
      <c r="A6" s="2">
        <v>4</v>
      </c>
      <c r="B6" s="1" t="s">
        <v>7</v>
      </c>
      <c r="C6" s="1" t="s">
        <v>10</v>
      </c>
      <c r="D6" s="1">
        <f t="shared" ca="1" si="0"/>
        <v>56</v>
      </c>
      <c r="E6" s="1">
        <f t="shared" ca="1" si="0"/>
        <v>81</v>
      </c>
      <c r="F6" s="3">
        <f t="shared" ca="1" si="0"/>
        <v>60</v>
      </c>
    </row>
    <row r="7" spans="1:6" x14ac:dyDescent="0.2">
      <c r="A7" s="2">
        <v>5</v>
      </c>
      <c r="B7" s="1" t="s">
        <v>6</v>
      </c>
      <c r="C7" s="1" t="s">
        <v>9</v>
      </c>
      <c r="D7" s="1">
        <f t="shared" ca="1" si="0"/>
        <v>86</v>
      </c>
      <c r="E7" s="1">
        <f t="shared" ca="1" si="0"/>
        <v>82</v>
      </c>
      <c r="F7" s="3">
        <f t="shared" ca="1" si="0"/>
        <v>64</v>
      </c>
    </row>
    <row r="8" spans="1:6" x14ac:dyDescent="0.2">
      <c r="A8" s="2">
        <v>6</v>
      </c>
      <c r="B8" s="1" t="s">
        <v>6</v>
      </c>
      <c r="C8" s="1" t="s">
        <v>10</v>
      </c>
      <c r="D8" s="1">
        <f t="shared" ca="1" si="0"/>
        <v>84</v>
      </c>
      <c r="E8" s="1">
        <f t="shared" ca="1" si="0"/>
        <v>91</v>
      </c>
      <c r="F8" s="3">
        <f t="shared" ca="1" si="0"/>
        <v>72</v>
      </c>
    </row>
    <row r="9" spans="1:6" x14ac:dyDescent="0.2">
      <c r="A9" s="2">
        <v>7</v>
      </c>
      <c r="B9" s="1" t="s">
        <v>7</v>
      </c>
      <c r="C9" s="1" t="s">
        <v>8</v>
      </c>
      <c r="D9" s="1">
        <f t="shared" ca="1" si="0"/>
        <v>98</v>
      </c>
      <c r="E9" s="1">
        <f t="shared" ca="1" si="0"/>
        <v>95</v>
      </c>
      <c r="F9" s="3">
        <f t="shared" ca="1" si="0"/>
        <v>58</v>
      </c>
    </row>
    <row r="10" spans="1:6" x14ac:dyDescent="0.2">
      <c r="A10" s="2">
        <v>8</v>
      </c>
      <c r="B10" s="1" t="s">
        <v>6</v>
      </c>
      <c r="C10" s="1" t="s">
        <v>9</v>
      </c>
      <c r="D10" s="1">
        <f t="shared" ca="1" si="0"/>
        <v>73</v>
      </c>
      <c r="E10" s="1">
        <f t="shared" ca="1" si="0"/>
        <v>74</v>
      </c>
      <c r="F10" s="3">
        <f t="shared" ca="1" si="0"/>
        <v>73</v>
      </c>
    </row>
    <row r="11" spans="1:6" x14ac:dyDescent="0.2">
      <c r="A11" s="2">
        <v>9</v>
      </c>
      <c r="B11" s="1" t="s">
        <v>7</v>
      </c>
      <c r="C11" s="1" t="s">
        <v>10</v>
      </c>
      <c r="D11" s="1">
        <f t="shared" ca="1" si="0"/>
        <v>59</v>
      </c>
      <c r="E11" s="1">
        <f t="shared" ca="1" si="0"/>
        <v>74</v>
      </c>
      <c r="F11" s="3">
        <f t="shared" ca="1" si="0"/>
        <v>97</v>
      </c>
    </row>
    <row r="12" spans="1:6" x14ac:dyDescent="0.2">
      <c r="A12" s="2">
        <v>10</v>
      </c>
      <c r="B12" s="1" t="s">
        <v>6</v>
      </c>
      <c r="C12" s="1" t="s">
        <v>8</v>
      </c>
      <c r="D12" s="1">
        <f t="shared" ca="1" si="0"/>
        <v>71</v>
      </c>
      <c r="E12" s="1">
        <f t="shared" ca="1" si="0"/>
        <v>58</v>
      </c>
      <c r="F12" s="3">
        <f t="shared" ca="1" si="0"/>
        <v>71</v>
      </c>
    </row>
    <row r="13" spans="1:6" x14ac:dyDescent="0.2">
      <c r="A13" s="2">
        <v>11</v>
      </c>
      <c r="B13" s="1" t="s">
        <v>7</v>
      </c>
      <c r="C13" s="1" t="s">
        <v>9</v>
      </c>
      <c r="D13" s="1">
        <f t="shared" ca="1" si="0"/>
        <v>66</v>
      </c>
      <c r="E13" s="1">
        <f t="shared" ca="1" si="0"/>
        <v>87</v>
      </c>
      <c r="F13" s="3">
        <f t="shared" ca="1" si="0"/>
        <v>62</v>
      </c>
    </row>
    <row r="14" spans="1:6" x14ac:dyDescent="0.2">
      <c r="A14" s="2">
        <v>12</v>
      </c>
      <c r="B14" s="1" t="s">
        <v>6</v>
      </c>
      <c r="C14" s="1" t="s">
        <v>10</v>
      </c>
      <c r="D14" s="1">
        <f t="shared" ca="1" si="0"/>
        <v>74</v>
      </c>
      <c r="E14" s="1">
        <f t="shared" ca="1" si="0"/>
        <v>84</v>
      </c>
      <c r="F14" s="3">
        <f t="shared" ca="1" si="0"/>
        <v>81</v>
      </c>
    </row>
    <row r="15" spans="1:6" x14ac:dyDescent="0.2">
      <c r="A15" s="2">
        <v>13</v>
      </c>
      <c r="B15" s="1" t="s">
        <v>7</v>
      </c>
      <c r="C15" s="1" t="s">
        <v>8</v>
      </c>
      <c r="D15" s="1">
        <f t="shared" ca="1" si="0"/>
        <v>88</v>
      </c>
      <c r="E15" s="1">
        <f t="shared" ca="1" si="0"/>
        <v>76</v>
      </c>
      <c r="F15" s="3">
        <f t="shared" ca="1" si="0"/>
        <v>65</v>
      </c>
    </row>
    <row r="16" spans="1:6" x14ac:dyDescent="0.2">
      <c r="A16" s="2">
        <v>14</v>
      </c>
      <c r="B16" s="1" t="s">
        <v>6</v>
      </c>
      <c r="C16" s="1" t="s">
        <v>9</v>
      </c>
      <c r="D16" s="1">
        <f t="shared" ca="1" si="0"/>
        <v>90</v>
      </c>
      <c r="E16" s="1">
        <f t="shared" ca="1" si="0"/>
        <v>86</v>
      </c>
      <c r="F16" s="3">
        <f t="shared" ca="1" si="0"/>
        <v>78</v>
      </c>
    </row>
    <row r="17" spans="1:6" x14ac:dyDescent="0.2">
      <c r="A17" s="2">
        <v>15</v>
      </c>
      <c r="B17" s="1" t="s">
        <v>7</v>
      </c>
      <c r="C17" s="1" t="s">
        <v>10</v>
      </c>
      <c r="D17" s="1">
        <f t="shared" ca="1" si="0"/>
        <v>79</v>
      </c>
      <c r="E17" s="1">
        <f t="shared" ca="1" si="0"/>
        <v>78</v>
      </c>
      <c r="F17" s="3">
        <f t="shared" ca="1" si="0"/>
        <v>98</v>
      </c>
    </row>
    <row r="18" spans="1:6" x14ac:dyDescent="0.2">
      <c r="A18" s="2">
        <v>16</v>
      </c>
      <c r="B18" s="1" t="s">
        <v>6</v>
      </c>
      <c r="C18" s="1" t="s">
        <v>8</v>
      </c>
      <c r="D18" s="1">
        <f t="shared" ca="1" si="0"/>
        <v>77</v>
      </c>
      <c r="E18" s="1">
        <f t="shared" ca="1" si="0"/>
        <v>90</v>
      </c>
      <c r="F18" s="3">
        <f t="shared" ca="1" si="0"/>
        <v>89</v>
      </c>
    </row>
    <row r="19" spans="1:6" x14ac:dyDescent="0.2">
      <c r="A19" s="2">
        <v>17</v>
      </c>
      <c r="B19" s="1" t="s">
        <v>7</v>
      </c>
      <c r="C19" s="1" t="s">
        <v>9</v>
      </c>
      <c r="D19" s="1">
        <f t="shared" ca="1" si="0"/>
        <v>55</v>
      </c>
      <c r="E19" s="1">
        <f t="shared" ca="1" si="0"/>
        <v>67</v>
      </c>
      <c r="F19" s="3">
        <f t="shared" ca="1" si="0"/>
        <v>56</v>
      </c>
    </row>
    <row r="20" spans="1:6" x14ac:dyDescent="0.2">
      <c r="A20" s="2">
        <v>18</v>
      </c>
      <c r="B20" s="1" t="s">
        <v>6</v>
      </c>
      <c r="C20" s="1" t="s">
        <v>10</v>
      </c>
      <c r="D20" s="1">
        <f t="shared" ca="1" si="0"/>
        <v>98</v>
      </c>
      <c r="E20" s="1">
        <f t="shared" ca="1" si="0"/>
        <v>91</v>
      </c>
      <c r="F20" s="3">
        <f t="shared" ca="1" si="0"/>
        <v>95</v>
      </c>
    </row>
    <row r="21" spans="1:6" x14ac:dyDescent="0.2">
      <c r="A21" s="2">
        <v>19</v>
      </c>
      <c r="B21" s="1" t="s">
        <v>7</v>
      </c>
      <c r="C21" s="1" t="s">
        <v>8</v>
      </c>
      <c r="D21" s="1">
        <f t="shared" ca="1" si="0"/>
        <v>77</v>
      </c>
      <c r="E21" s="1">
        <f t="shared" ca="1" si="0"/>
        <v>59</v>
      </c>
      <c r="F21" s="3">
        <f t="shared" ca="1" si="0"/>
        <v>90</v>
      </c>
    </row>
    <row r="22" spans="1:6" x14ac:dyDescent="0.2">
      <c r="A22" s="7">
        <v>20</v>
      </c>
      <c r="B22" s="8" t="s">
        <v>6</v>
      </c>
      <c r="C22" s="8" t="s">
        <v>9</v>
      </c>
      <c r="D22" s="1">
        <f t="shared" ca="1" si="0"/>
        <v>85</v>
      </c>
      <c r="E22" s="1">
        <f t="shared" ca="1" si="0"/>
        <v>76</v>
      </c>
      <c r="F22" s="3">
        <f t="shared" ca="1" si="0"/>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24"/>
  <sheetViews>
    <sheetView topLeftCell="A7" workbookViewId="0">
      <selection activeCell="E7" sqref="E7"/>
    </sheetView>
  </sheetViews>
  <sheetFormatPr defaultRowHeight="15" x14ac:dyDescent="0.2"/>
  <cols>
    <col min="1" max="1" width="13.1796875" customWidth="1"/>
    <col min="2" max="2" width="19.1015625" customWidth="1"/>
    <col min="3" max="4" width="23.9453125" customWidth="1"/>
    <col min="6" max="6" width="13.1796875" customWidth="1"/>
    <col min="7" max="7" width="22.05859375" customWidth="1"/>
    <col min="8" max="8" width="24.48046875" bestFit="1" customWidth="1"/>
    <col min="9" max="9" width="23.9453125" bestFit="1" customWidth="1"/>
  </cols>
  <sheetData>
    <row r="2" spans="1:9" x14ac:dyDescent="0.2">
      <c r="A2" s="14" t="s">
        <v>18</v>
      </c>
      <c r="B2" s="14"/>
      <c r="C2" s="14"/>
      <c r="D2" s="14"/>
      <c r="F2" s="14" t="s">
        <v>17</v>
      </c>
      <c r="G2" s="14"/>
      <c r="H2" s="14"/>
      <c r="I2" s="14"/>
    </row>
    <row r="3" spans="1:9" x14ac:dyDescent="0.2">
      <c r="A3" s="9" t="s">
        <v>11</v>
      </c>
      <c r="B3" t="s">
        <v>13</v>
      </c>
      <c r="C3" t="s">
        <v>14</v>
      </c>
      <c r="D3" t="s">
        <v>15</v>
      </c>
      <c r="F3" s="9" t="s">
        <v>11</v>
      </c>
      <c r="G3" t="s">
        <v>13</v>
      </c>
      <c r="H3" t="s">
        <v>14</v>
      </c>
      <c r="I3" t="s">
        <v>15</v>
      </c>
    </row>
    <row r="4" spans="1:9" x14ac:dyDescent="0.2">
      <c r="A4" s="10" t="s">
        <v>6</v>
      </c>
      <c r="B4" s="11">
        <v>78.545454545454547</v>
      </c>
      <c r="C4" s="11">
        <v>75.727272727272734</v>
      </c>
      <c r="D4" s="11">
        <v>78.727272727272734</v>
      </c>
      <c r="F4" s="10">
        <v>1</v>
      </c>
      <c r="G4" s="11">
        <v>75</v>
      </c>
      <c r="H4" s="11">
        <v>96</v>
      </c>
      <c r="I4" s="11">
        <v>72</v>
      </c>
    </row>
    <row r="5" spans="1:9" x14ac:dyDescent="0.2">
      <c r="A5" s="10" t="s">
        <v>7</v>
      </c>
      <c r="B5" s="11">
        <v>74.333333333333329</v>
      </c>
      <c r="C5" s="11">
        <v>75.777777777777771</v>
      </c>
      <c r="D5" s="11">
        <v>77.222222222222229</v>
      </c>
      <c r="F5" s="10">
        <v>2</v>
      </c>
      <c r="G5" s="11">
        <v>97</v>
      </c>
      <c r="H5" s="11">
        <v>82</v>
      </c>
      <c r="I5" s="11">
        <v>79</v>
      </c>
    </row>
    <row r="6" spans="1:9" x14ac:dyDescent="0.2">
      <c r="A6" s="10" t="s">
        <v>12</v>
      </c>
      <c r="B6" s="11">
        <v>76.650000000000006</v>
      </c>
      <c r="C6" s="11">
        <v>75.75</v>
      </c>
      <c r="D6" s="11">
        <v>78.05</v>
      </c>
      <c r="F6" s="10">
        <v>3</v>
      </c>
      <c r="G6" s="11">
        <v>77</v>
      </c>
      <c r="H6" s="11">
        <v>60</v>
      </c>
      <c r="I6" s="11">
        <v>69</v>
      </c>
    </row>
    <row r="7" spans="1:9" x14ac:dyDescent="0.2">
      <c r="F7" s="10">
        <v>4</v>
      </c>
      <c r="G7" s="11">
        <v>55</v>
      </c>
      <c r="H7" s="11">
        <v>82</v>
      </c>
      <c r="I7" s="11">
        <v>80</v>
      </c>
    </row>
    <row r="8" spans="1:9" x14ac:dyDescent="0.2">
      <c r="A8" s="14" t="s">
        <v>19</v>
      </c>
      <c r="B8" s="14"/>
      <c r="C8" s="14"/>
      <c r="D8" s="14"/>
      <c r="F8" s="10">
        <v>5</v>
      </c>
      <c r="G8" s="11">
        <v>57</v>
      </c>
      <c r="H8" s="11">
        <v>74</v>
      </c>
      <c r="I8" s="11">
        <v>84</v>
      </c>
    </row>
    <row r="9" spans="1:9" x14ac:dyDescent="0.2">
      <c r="A9" s="9" t="s">
        <v>11</v>
      </c>
      <c r="B9" t="s">
        <v>13</v>
      </c>
      <c r="C9" t="s">
        <v>14</v>
      </c>
      <c r="D9" t="s">
        <v>15</v>
      </c>
      <c r="F9" s="10">
        <v>6</v>
      </c>
      <c r="G9" s="11">
        <v>89</v>
      </c>
      <c r="H9" s="11">
        <v>96</v>
      </c>
      <c r="I9" s="11">
        <v>83</v>
      </c>
    </row>
    <row r="10" spans="1:9" x14ac:dyDescent="0.2">
      <c r="A10" s="10" t="s">
        <v>8</v>
      </c>
      <c r="B10" s="11">
        <v>74.142857142857139</v>
      </c>
      <c r="C10" s="11">
        <v>74.428571428571431</v>
      </c>
      <c r="D10" s="11">
        <v>77.714285714285708</v>
      </c>
      <c r="F10" s="10">
        <v>7</v>
      </c>
      <c r="G10" s="11">
        <v>59</v>
      </c>
      <c r="H10" s="11">
        <v>67</v>
      </c>
      <c r="I10" s="11">
        <v>82</v>
      </c>
    </row>
    <row r="11" spans="1:9" x14ac:dyDescent="0.2">
      <c r="A11" s="10" t="s">
        <v>9</v>
      </c>
      <c r="B11" s="11">
        <v>83.285714285714292</v>
      </c>
      <c r="C11" s="11">
        <v>81.714285714285708</v>
      </c>
      <c r="D11" s="11">
        <v>78.857142857142861</v>
      </c>
      <c r="F11" s="10">
        <v>8</v>
      </c>
      <c r="G11" s="11">
        <v>97</v>
      </c>
      <c r="H11" s="11">
        <v>56</v>
      </c>
      <c r="I11" s="11">
        <v>60</v>
      </c>
    </row>
    <row r="12" spans="1:9" x14ac:dyDescent="0.2">
      <c r="A12" s="10" t="s">
        <v>10</v>
      </c>
      <c r="B12" s="11">
        <v>71.833333333333329</v>
      </c>
      <c r="C12" s="11">
        <v>70.333333333333329</v>
      </c>
      <c r="D12" s="11">
        <v>77.5</v>
      </c>
      <c r="F12" s="10">
        <v>9</v>
      </c>
      <c r="G12" s="11">
        <v>84</v>
      </c>
      <c r="H12" s="11">
        <v>72</v>
      </c>
      <c r="I12" s="11">
        <v>71</v>
      </c>
    </row>
    <row r="13" spans="1:9" x14ac:dyDescent="0.2">
      <c r="A13" s="10" t="s">
        <v>12</v>
      </c>
      <c r="B13" s="11">
        <v>76.650000000000006</v>
      </c>
      <c r="C13" s="11">
        <v>75.75</v>
      </c>
      <c r="D13" s="11">
        <v>78.05</v>
      </c>
      <c r="F13" s="10">
        <v>10</v>
      </c>
      <c r="G13" s="11">
        <v>66</v>
      </c>
      <c r="H13" s="11">
        <v>62</v>
      </c>
      <c r="I13" s="11">
        <v>84</v>
      </c>
    </row>
    <row r="14" spans="1:9" x14ac:dyDescent="0.2">
      <c r="F14" s="10">
        <v>11</v>
      </c>
      <c r="G14" s="11">
        <v>62</v>
      </c>
      <c r="H14" s="11">
        <v>94</v>
      </c>
      <c r="I14" s="11">
        <v>83</v>
      </c>
    </row>
    <row r="15" spans="1:9" x14ac:dyDescent="0.2">
      <c r="A15" s="14" t="s">
        <v>16</v>
      </c>
      <c r="B15" s="14"/>
      <c r="C15" s="14"/>
      <c r="F15" s="10">
        <v>12</v>
      </c>
      <c r="G15" s="11">
        <v>57</v>
      </c>
      <c r="H15" s="11">
        <v>57</v>
      </c>
      <c r="I15" s="11">
        <v>69</v>
      </c>
    </row>
    <row r="16" spans="1:9" x14ac:dyDescent="0.2">
      <c r="A16" t="s">
        <v>13</v>
      </c>
      <c r="B16" t="s">
        <v>14</v>
      </c>
      <c r="C16" t="s">
        <v>15</v>
      </c>
      <c r="F16" s="10">
        <v>13</v>
      </c>
      <c r="G16" s="11">
        <v>74</v>
      </c>
      <c r="H16" s="11">
        <v>81</v>
      </c>
      <c r="I16" s="11">
        <v>91</v>
      </c>
    </row>
    <row r="17" spans="1:9" x14ac:dyDescent="0.2">
      <c r="A17" s="11">
        <v>76.650000000000006</v>
      </c>
      <c r="B17" s="11">
        <v>75.75</v>
      </c>
      <c r="C17" s="11">
        <v>78.05</v>
      </c>
      <c r="F17" s="10">
        <v>14</v>
      </c>
      <c r="G17" s="11">
        <v>89</v>
      </c>
      <c r="H17" s="11">
        <v>83</v>
      </c>
      <c r="I17" s="11">
        <v>87</v>
      </c>
    </row>
    <row r="18" spans="1:9" x14ac:dyDescent="0.2">
      <c r="F18" s="10">
        <v>15</v>
      </c>
      <c r="G18" s="11">
        <v>64</v>
      </c>
      <c r="H18" s="11">
        <v>56</v>
      </c>
      <c r="I18" s="11">
        <v>84</v>
      </c>
    </row>
    <row r="19" spans="1:9" x14ac:dyDescent="0.2">
      <c r="A19" s="14" t="s">
        <v>21</v>
      </c>
      <c r="B19" s="14"/>
      <c r="F19" s="10">
        <v>16</v>
      </c>
      <c r="G19" s="11">
        <v>92</v>
      </c>
      <c r="H19" s="11">
        <v>95</v>
      </c>
      <c r="I19" s="11">
        <v>85</v>
      </c>
    </row>
    <row r="20" spans="1:9" x14ac:dyDescent="0.2">
      <c r="A20" s="9" t="s">
        <v>11</v>
      </c>
      <c r="B20" t="s">
        <v>20</v>
      </c>
      <c r="F20" s="10">
        <v>17</v>
      </c>
      <c r="G20" s="11">
        <v>98</v>
      </c>
      <c r="H20" s="11">
        <v>88</v>
      </c>
      <c r="I20" s="11">
        <v>64</v>
      </c>
    </row>
    <row r="21" spans="1:9" x14ac:dyDescent="0.2">
      <c r="A21" s="10" t="s">
        <v>8</v>
      </c>
      <c r="B21" s="11">
        <v>7</v>
      </c>
      <c r="F21" s="10">
        <v>18</v>
      </c>
      <c r="G21" s="11">
        <v>82</v>
      </c>
      <c r="H21" s="11">
        <v>59</v>
      </c>
      <c r="I21" s="11">
        <v>78</v>
      </c>
    </row>
    <row r="22" spans="1:9" x14ac:dyDescent="0.2">
      <c r="A22" s="10" t="s">
        <v>9</v>
      </c>
      <c r="B22" s="11">
        <v>7</v>
      </c>
      <c r="F22" s="10">
        <v>19</v>
      </c>
      <c r="G22" s="11">
        <v>76</v>
      </c>
      <c r="H22" s="11">
        <v>60</v>
      </c>
      <c r="I22" s="11">
        <v>61</v>
      </c>
    </row>
    <row r="23" spans="1:9" x14ac:dyDescent="0.2">
      <c r="A23" s="10" t="s">
        <v>10</v>
      </c>
      <c r="B23" s="11">
        <v>6</v>
      </c>
      <c r="F23" s="10">
        <v>20</v>
      </c>
      <c r="G23" s="11">
        <v>83</v>
      </c>
      <c r="H23" s="11">
        <v>95</v>
      </c>
      <c r="I23" s="11">
        <v>95</v>
      </c>
    </row>
    <row r="24" spans="1:9" x14ac:dyDescent="0.2">
      <c r="A24" s="10" t="s">
        <v>12</v>
      </c>
      <c r="B24" s="11">
        <v>20</v>
      </c>
      <c r="F24" s="10" t="s">
        <v>12</v>
      </c>
      <c r="G24" s="11">
        <v>76.650000000000006</v>
      </c>
      <c r="H24" s="11">
        <v>75.75</v>
      </c>
      <c r="I24" s="11">
        <v>78.05</v>
      </c>
    </row>
  </sheetData>
  <mergeCells count="5">
    <mergeCell ref="A2:D2"/>
    <mergeCell ref="A8:D8"/>
    <mergeCell ref="A15:C15"/>
    <mergeCell ref="F2:I2"/>
    <mergeCell ref="A19:B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tabSelected="1" zoomScale="87" zoomScaleNormal="87" workbookViewId="0">
      <selection activeCell="W23" sqref="W23"/>
    </sheetView>
  </sheetViews>
  <sheetFormatPr defaultColWidth="9.14453125" defaultRowHeight="15" x14ac:dyDescent="0.2"/>
  <cols>
    <col min="1" max="16384" width="9.14453125" style="12"/>
  </cols>
  <sheetData>
    <row r="1" spans="1:4" ht="33.75" customHeight="1" x14ac:dyDescent="0.2">
      <c r="A1" s="15" t="s">
        <v>22</v>
      </c>
      <c r="B1" s="15"/>
      <c r="C1" s="15"/>
      <c r="D1" s="15"/>
    </row>
    <row r="2" spans="1:4" x14ac:dyDescent="0.2">
      <c r="A2" s="15"/>
      <c r="B2" s="15"/>
      <c r="C2" s="15"/>
      <c r="D2" s="15"/>
    </row>
    <row r="3" spans="1:4" x14ac:dyDescent="0.2">
      <c r="A3" s="15"/>
      <c r="B3" s="15"/>
      <c r="C3" s="15"/>
      <c r="D3" s="15"/>
    </row>
    <row r="4" spans="1:4" x14ac:dyDescent="0.2">
      <c r="A4" s="15"/>
      <c r="B4" s="15"/>
      <c r="C4" s="15"/>
      <c r="D4" s="15"/>
    </row>
    <row r="5" spans="1:4" x14ac:dyDescent="0.2">
      <c r="A5" s="15"/>
      <c r="B5" s="15"/>
      <c r="C5" s="15"/>
      <c r="D5" s="15"/>
    </row>
    <row r="6" spans="1:4" x14ac:dyDescent="0.2">
      <c r="A6" s="13"/>
      <c r="B6" s="13"/>
      <c r="C6" s="13"/>
      <c r="D6" s="13"/>
    </row>
    <row r="7" spans="1:4" x14ac:dyDescent="0.2">
      <c r="A7" s="13"/>
      <c r="B7" s="13"/>
      <c r="C7" s="13"/>
      <c r="D7" s="13"/>
    </row>
    <row r="8" spans="1:4" x14ac:dyDescent="0.2">
      <c r="A8" s="13"/>
      <c r="B8" s="13"/>
      <c r="C8" s="13"/>
      <c r="D8" s="13"/>
    </row>
    <row r="9" spans="1:4" x14ac:dyDescent="0.2">
      <c r="A9" s="13"/>
      <c r="B9" s="13"/>
      <c r="C9" s="13"/>
      <c r="D9" s="13"/>
    </row>
    <row r="10" spans="1:4" x14ac:dyDescent="0.2">
      <c r="A10" s="13"/>
      <c r="B10" s="13"/>
      <c r="C10" s="13"/>
      <c r="D10" s="13"/>
    </row>
    <row r="11" spans="1:4" x14ac:dyDescent="0.2">
      <c r="A11" s="13"/>
      <c r="B11" s="13"/>
      <c r="C11" s="13"/>
      <c r="D11" s="13"/>
    </row>
    <row r="12" spans="1:4" x14ac:dyDescent="0.2">
      <c r="A12" s="13"/>
      <c r="B12" s="13"/>
      <c r="C12" s="13"/>
      <c r="D12" s="13"/>
    </row>
    <row r="13" spans="1:4" x14ac:dyDescent="0.2">
      <c r="A13" s="13"/>
      <c r="B13" s="13"/>
      <c r="C13" s="13"/>
      <c r="D13" s="13"/>
    </row>
    <row r="14" spans="1:4" x14ac:dyDescent="0.2">
      <c r="A14" s="13"/>
      <c r="B14" s="13"/>
      <c r="C14" s="13"/>
      <c r="D14" s="13"/>
    </row>
    <row r="15" spans="1:4" x14ac:dyDescent="0.2">
      <c r="A15" s="13"/>
      <c r="B15" s="13"/>
      <c r="C15" s="13"/>
      <c r="D15" s="13"/>
    </row>
    <row r="16" spans="1:4" x14ac:dyDescent="0.2">
      <c r="A16" s="13"/>
      <c r="B16" s="13"/>
      <c r="C16" s="13"/>
      <c r="D16" s="13"/>
    </row>
    <row r="17" spans="1:4" x14ac:dyDescent="0.2">
      <c r="A17" s="13"/>
      <c r="B17" s="13"/>
      <c r="C17" s="13"/>
      <c r="D17" s="13"/>
    </row>
    <row r="18" spans="1:4" x14ac:dyDescent="0.2">
      <c r="A18" s="13"/>
      <c r="B18" s="13"/>
      <c r="C18" s="13"/>
      <c r="D18" s="13"/>
    </row>
    <row r="19" spans="1:4" x14ac:dyDescent="0.2">
      <c r="A19" s="13"/>
      <c r="B19" s="13"/>
      <c r="C19" s="13"/>
      <c r="D19" s="13"/>
    </row>
    <row r="20" spans="1:4" x14ac:dyDescent="0.2">
      <c r="A20" s="13"/>
      <c r="B20" s="13"/>
      <c r="C20" s="13"/>
      <c r="D20" s="13"/>
    </row>
    <row r="21" spans="1:4" x14ac:dyDescent="0.2">
      <c r="A21" s="13"/>
      <c r="B21" s="13"/>
      <c r="C21" s="13"/>
      <c r="D21" s="13"/>
    </row>
    <row r="22" spans="1:4" x14ac:dyDescent="0.2">
      <c r="A22" s="13"/>
      <c r="B22" s="13"/>
      <c r="C22" s="13"/>
      <c r="D22" s="13"/>
    </row>
    <row r="23" spans="1:4" x14ac:dyDescent="0.2">
      <c r="A23" s="13"/>
      <c r="B23" s="13"/>
      <c r="C23" s="13"/>
      <c r="D23" s="13"/>
    </row>
    <row r="24" spans="1:4" x14ac:dyDescent="0.2">
      <c r="A24" s="13"/>
      <c r="B24" s="13"/>
      <c r="C24" s="13"/>
      <c r="D24" s="13"/>
    </row>
    <row r="25" spans="1:4" x14ac:dyDescent="0.2">
      <c r="A25" s="13"/>
      <c r="B25" s="13"/>
      <c r="C25" s="13"/>
      <c r="D25" s="13"/>
    </row>
    <row r="26" spans="1:4" x14ac:dyDescent="0.2">
      <c r="A26" s="13"/>
      <c r="B26" s="13"/>
      <c r="C26" s="13"/>
      <c r="D26" s="13"/>
    </row>
  </sheetData>
  <mergeCells count="1">
    <mergeCell ref="A1:D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2025-11-24T06:21:34Z</dcterms:created>
  <dcterms:modified xsi:type="dcterms:W3CDTF">2025-11-25T06:24:40Z</dcterms:modified>
</cp:coreProperties>
</file>